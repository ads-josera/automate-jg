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ud" sheetId="1" r:id="rId4"/>
    <sheet name="Datos" sheetId="2" state="veryHidden" r:id="rId5"/>
  </sheets>
  <definedNames>
    <definedName name="DatosSolicitud">'Datos'!$A$1:$AN$2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<sst xmlns="http://schemas.openxmlformats.org/spreadsheetml/2006/main" uniqueCount="83">
  <si>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SOLICITUD DE ASEGURAMIENTO DE MERCANCÍA</t>
  </si>
  <si>
    <t>Llena las celdas en azul claro; las marcadas en rojo son obligatorias. Envía una solicitud por archivo Excel.</t>
  </si>
  <si>
    <t>1. SOLICITANTE</t>
  </si>
  <si>
    <t>Solicitante</t>
  </si>
  <si>
    <t>Teléfono</t>
  </si>
  <si>
    <t>Fecha</t>
  </si>
  <si>
    <t>2. BENEFICIARIO DEL SEGURO</t>
  </si>
  <si>
    <t>Nombre</t>
  </si>
  <si>
    <t>Domicilio</t>
  </si>
  <si>
    <t>Contacto</t>
  </si>
  <si>
    <t>3. MERCANCÍA POR ASEGURAR</t>
  </si>
  <si>
    <t>Mercancía asegurada</t>
  </si>
  <si>
    <t>Estado</t>
  </si>
  <si>
    <t>Referencia</t>
  </si>
  <si>
    <t>4. RUTA Y TRANSPORTE</t>
  </si>
  <si>
    <t>Fecha inicio seguro</t>
  </si>
  <si>
    <t>Medio transporte</t>
  </si>
  <si>
    <t>Ciudad de origen</t>
  </si>
  <si>
    <t>País origen</t>
  </si>
  <si>
    <t>Ciudad de destino</t>
  </si>
  <si>
    <t>País destino</t>
  </si>
  <si>
    <t>5. CONCEPTOS POR ASEGURAR</t>
  </si>
  <si>
    <t>Moneda</t>
  </si>
  <si>
    <t>Valor factura</t>
  </si>
  <si>
    <t>Gastos de fletes</t>
  </si>
  <si>
    <t>Gastos incrementales</t>
  </si>
  <si>
    <t>Seguro contenedor</t>
  </si>
  <si>
    <t>Suma asegurada total</t>
  </si>
  <si>
    <t>6. DATOS DEL CONSIGNATARIO</t>
  </si>
  <si>
    <t>7. DATOS DEL PROVEEDOR</t>
  </si>
  <si>
    <t>8. REFERENCIAS</t>
  </si>
  <si>
    <t>Terrestre</t>
  </si>
  <si>
    <t>Marítimo</t>
  </si>
  <si>
    <t>Aéreo</t>
  </si>
  <si>
    <t>Talón embarque</t>
  </si>
  <si>
    <t>B/L</t>
  </si>
  <si>
    <t>N° Guía</t>
  </si>
  <si>
    <t>N° Contenedor o caja</t>
  </si>
  <si>
    <t>Contenedor</t>
  </si>
  <si>
    <t>Línea aérea</t>
  </si>
  <si>
    <t>9. DECLARACIÓN</t>
  </si>
  <si>
    <t>Acepto que la información declarada es verídica</t>
  </si>
  <si>
    <r>
      <rPr>
        <rFont val="Calibri"/>
        <b val="true"/>
        <i val="false"/>
        <strike val="false"/>
        <color rgb="FF000000"/>
        <sz val="11"/>
        <u val="none"/>
      </rPr>
      <t xml:space="preserve">JG MYLARD S.A. DE C.V.</t>
    </r>
    <r>
      <rPr>
        <rFont val="Calibri"/>
        <b val="false"/>
        <i val="false"/>
        <strike val="false"/>
        <color rgb="FF000000"/>
        <sz val="11"/>
        <u val="none"/>
      </rPr>
      <t xml:space="preserve">
Calle 29 Núm. 69 Col. Valentín Gómez Farías C.P. 15010, Venustiano Carranza, Ciudad de México, México
Tel. Of. +52 (55) 8943-1208, +52 (55) 8943-6064
www.jgmylard.com</t>
    </r>
  </si>
  <si>
    <t>email</t>
  </si>
  <si>
    <t>aseguradora</t>
  </si>
  <si>
    <t>tipo_documento</t>
  </si>
  <si>
    <t>solicitante</t>
  </si>
  <si>
    <t>solicitante_telefono</t>
  </si>
  <si>
    <t>solicitud_fecha</t>
  </si>
  <si>
    <t>beneficiario_nombre</t>
  </si>
  <si>
    <t>beneficiario_domicilio</t>
  </si>
  <si>
    <t>beneficiario_contacto</t>
  </si>
  <si>
    <t>mercancia_estado</t>
  </si>
  <si>
    <t>mercancia_asegurada</t>
  </si>
  <si>
    <t>mercancia_referencia</t>
  </si>
  <si>
    <t>fecha_inicio_seguro</t>
  </si>
  <si>
    <t>origen_ciudad</t>
  </si>
  <si>
    <t>origen_pais</t>
  </si>
  <si>
    <t>destino_ciudad</t>
  </si>
  <si>
    <t>destino_pais</t>
  </si>
  <si>
    <t>medio_transporte</t>
  </si>
  <si>
    <t>moneda</t>
  </si>
  <si>
    <t>valor_factura</t>
  </si>
  <si>
    <t>gastos_fletes</t>
  </si>
  <si>
    <t>gastos_incrementales</t>
  </si>
  <si>
    <t>seguro_contenedor</t>
  </si>
  <si>
    <t>suma_asegurada_total</t>
  </si>
  <si>
    <t>consignatario_nombre</t>
  </si>
  <si>
    <t>consignatario_domicilio</t>
  </si>
  <si>
    <t>consignatario_contacto</t>
  </si>
  <si>
    <t>proveedor_nombre</t>
  </si>
  <si>
    <t>proveedor_domicilio</t>
  </si>
  <si>
    <t>proveedor_contacto</t>
  </si>
  <si>
    <t>ref_terrestre</t>
  </si>
  <si>
    <t>ref_talon_embarque</t>
  </si>
  <si>
    <t>ref_contenedor_caja</t>
  </si>
  <si>
    <t>ref_maritimo_bl</t>
  </si>
  <si>
    <t>ref_maritimo_contenedor</t>
  </si>
  <si>
    <t>ref_aereo_guia</t>
  </si>
  <si>
    <t>ref_aereo_linea</t>
  </si>
  <si>
    <t>acepta_informacion_veridica</t>
  </si>
  <si>
    <t>ref_maritimo</t>
  </si>
  <si>
    <t>ref_aereo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</si>
</sst>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9">
    <font>
      <b val="0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2"/>
      <name val="Calibri"/>
      <scheme val="minor"/>
    </font>
    <font>
      <b val="0"/>
      <i val="0"/>
      <strike val="0"/>
      <u val="none"/>
      <sz val="11"/>
      <color rgb="FF262626"/>
      <name val="Calibri"/>
      <scheme val="minor"/>
    </font>
    <font>
      <b val="0"/>
      <i val="0"/>
      <strike val="0"/>
      <u val="none"/>
      <sz val="12"/>
      <color theme="2"/>
      <name val="Calibri"/>
      <scheme val="minor"/>
    </font>
    <font>
      <b val="1"/>
      <i val="1"/>
      <strike val="0"/>
      <u val="none"/>
      <sz val="10"/>
      <color rgb="FFB42352"/>
      <name val="Calibri"/>
      <scheme val="minor"/>
    </font>
    <font>
      <b val="0"/>
      <i val="1"/>
      <strike val="0"/>
      <u val="none"/>
      <sz val="10"/>
      <color rgb="FFB4235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4FF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EEF0F4"/>
        <bgColor rgb="FFFFFFFF"/>
      </patternFill>
    </fill>
  </fills>
  <borders count="1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0"/>
    <xf xfId="0" fontId="2" numFmtId="0" fillId="3" borderId="0" applyFont="1" applyNumberFormat="0" applyFill="1" applyBorder="0" applyAlignment="1" applyProtection="true">
      <alignment horizontal="left" vertical="center" textRotation="0" wrapText="false" shrinkToFit="false" indent="1"/>
      <protection locked="false"/>
    </xf>
    <xf xfId="0" fontId="2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false"/>
    </xf>
    <xf xfId="0" fontId="2" numFmtId="1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2" numFmtId="0" fillId="3" borderId="1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2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false"/>
    </xf>
    <xf xfId="0" fontId="2" numFmtId="16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2" numFmtId="165" fillId="3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165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1" applyBorder="0" applyAlignment="0" applyProtection="true">
      <protection locked="true"/>
    </xf>
    <xf xfId="0" fontId="0" numFmtId="0" fillId="2" borderId="0" applyFont="0" applyNumberFormat="0" applyFill="1" applyBorder="0" applyAlignment="1" applyProtection="true">
      <alignment horizontal="center" vertical="bottom" textRotation="0" wrapText="false" shrinkToFit="false"/>
      <protection locked="true"/>
    </xf>
    <xf xfId="0" fontId="4" numFmtId="0" fillId="4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5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6" numFmtId="0" fillId="5" borderId="4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6" numFmtId="0" fillId="2" borderId="5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0" numFmtId="0" fillId="2" borderId="0" applyFont="0" applyNumberFormat="0" applyFill="1" applyBorder="0" applyAlignment="1" applyProtection="true">
      <alignment horizontal="left" vertical="center" textRotation="0" wrapText="false" shrinkToFit="false"/>
      <protection locked="tru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6" numFmtId="0" fillId="5" borderId="6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 indent="1"/>
      <protection locked="true"/>
    </xf>
    <xf xfId="0" fontId="2" numFmtId="0" fillId="6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6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1" numFmtId="0" fillId="2" borderId="7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0" applyFont="1" applyNumberFormat="0" applyFill="1" applyBorder="0" applyAlignment="1" applyProtection="true">
      <alignment horizontal="left" vertical="center" textRotation="0" wrapText="false" shrinkToFit="false" indent="1"/>
      <protection locked="true"/>
    </xf>
    <xf xfId="0" fontId="2" numFmtId="0" fillId="7" borderId="1" applyFont="1" applyNumberFormat="0" applyFill="1" applyBorder="1" applyAlignment="1" applyProtection="true">
      <alignment horizontal="left" vertical="center" textRotation="0" wrapText="false" shrinkToFit="false" indent="1"/>
      <protection locked="true"/>
    </xf>
    <xf xfId="0" fontId="2" numFmtId="0" fillId="3" borderId="1" applyFont="1" applyNumberFormat="0" applyFill="1" applyBorder="1" applyAlignment="1" applyProtection="true">
      <alignment vertical="center" textRotation="0" wrapText="false" shrinkToFit="false"/>
      <protection locked="true"/>
    </xf>
    <xf xfId="0" fontId="3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7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9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2" borderId="0" applyFont="1" applyNumberFormat="0" applyFill="1" applyBorder="0" applyAlignment="1" applyProtection="true">
      <alignment vertical="center" textRotation="0" wrapText="false" shrinkToFit="false"/>
      <protection locked="true"/>
    </xf>
    <xf xfId="0" fontId="3" numFmtId="0" fillId="2" borderId="1" applyFont="1" applyNumberFormat="0" applyFill="1" applyBorder="1" applyAlignment="1" applyProtection="true">
      <alignment horizontal="right" vertical="center" textRotation="0" wrapText="false" shrinkToFit="false"/>
      <protection locked="true"/>
    </xf>
    <xf xfId="0" fontId="3" numFmtId="0" fillId="2" borderId="10" applyFont="1" applyNumberFormat="0" applyFill="1" applyBorder="1" applyAlignment="1" applyProtection="true">
      <alignment horizontal="left" vertical="center" textRotation="0" wrapText="false" shrinkToFit="false" indent="2"/>
      <protection locked="true"/>
    </xf>
    <xf xfId="0" fontId="2" numFmtId="0" fillId="2" borderId="1" applyFont="1" applyNumberFormat="0" applyFill="1" applyBorder="1" applyAlignment="1" applyProtection="true">
      <alignment vertical="center" textRotation="0" wrapText="false" shrinkToFit="false"/>
      <protection locked="true"/>
    </xf>
    <xf xfId="0" fontId="2" numFmtId="0" fillId="2" borderId="11" applyFont="1" applyNumberFormat="0" applyFill="1" applyBorder="1" applyAlignment="1" applyProtection="true">
      <alignment vertical="center" textRotation="0" wrapText="false" shrinkToFit="false"/>
      <protection locked="tru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 indent="2"/>
      <protection locked="true"/>
    </xf>
    <xf xfId="0" fontId="3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1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3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0" numFmtId="0" fillId="2" borderId="0" applyFont="0" applyNumberFormat="0" applyFill="1" applyBorder="0" applyAlignment="1" applyProtection="true">
      <alignment vertical="center" textRotation="0" wrapText="false" shrinkToFit="false"/>
      <protection locked="true"/>
    </xf>
    <xf xfId="0" fontId="3" numFmtId="0" fillId="2" borderId="7" applyFont="1" applyNumberFormat="0" applyFill="1" applyBorder="1" applyAlignment="1" applyProtection="true">
      <alignment horizontal="left" vertical="center" textRotation="0" wrapText="false" shrinkToFit="false" indent="2"/>
      <protection locked="true"/>
    </xf>
    <xf xfId="0" fontId="2" numFmtId="0" fillId="3" borderId="1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0" fillId="3" borderId="0" applyFont="1" applyNumberFormat="0" applyFill="1" applyBorder="0" applyAlignment="1" applyProtection="true">
      <alignment horizontal="left" vertical="center" textRotation="0" wrapText="false" shrinkToFit="false" indent="1"/>
      <protection locked="true"/>
    </xf>
    <xf xfId="0" fontId="2" numFmtId="165" fillId="8" borderId="2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2" numFmtId="0" fillId="8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7" numFmtId="0" fillId="2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7" numFmtId="0" fillId="2" borderId="9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true"/>
    </xf>
  </cellXfs>
  <cellStyles count="1">
    <cellStyle name="Normal" xfId="0" builtinId="0"/>
  </cellStyles>
  <dxfs count="10"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2c43a6e4ac67afd6e0949d2492711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981075</xdr:colOff>
      <xdr:row>1</xdr:row>
      <xdr:rowOff>28575</xdr:rowOff>
    </xdr:from>
    <xdr:to>
      <xdr:col>6</xdr:col>
      <xdr:colOff>180975</xdr:colOff>
      <xdr:row>1</xdr:row>
      <xdr:rowOff>800100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334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63"/>
  <sheetViews>
    <sheetView tabSelected="1" workbookViewId="0" showGridLines="true" showRowColHeaders="1">
      <selection activeCell="G32" sqref="G32:K32"/>
    </sheetView>
  </sheetViews>
  <sheetFormatPr defaultRowHeight="14.4" outlineLevelRow="0" outlineLevelCol="0"/>
  <cols>
    <col min="1" max="1" width="5" customWidth="true" style="0"/>
    <col min="3" max="3" width="14.5" customWidth="true" style="0"/>
    <col min="4" max="4" width="14.5" customWidth="true" style="0"/>
    <col min="5" max="5" width="14.5" customWidth="true" style="0"/>
    <col min="12" max="12" width="4.6640625" customWidth="true" style="0"/>
  </cols>
  <sheetData>
    <row r="1" spans="1:12" customHeight="1" ht="28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spans="1:12" customHeight="1" ht="70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2"/>
    </row>
    <row r="3" spans="1:12">
      <c r="A3" s="15"/>
      <c r="B3" s="17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2"/>
    </row>
    <row r="4" spans="1:12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2"/>
    </row>
    <row r="5" spans="1:12" customHeight="1" ht="34">
      <c r="A5" s="15"/>
      <c r="B5" s="18" t="s">
        <v>1</v>
      </c>
      <c r="C5" s="18"/>
      <c r="D5" s="18"/>
      <c r="E5" s="18"/>
      <c r="F5" s="18"/>
      <c r="G5" s="18"/>
      <c r="H5" s="18"/>
      <c r="I5" s="18"/>
      <c r="J5" s="18"/>
      <c r="K5" s="18"/>
      <c r="L5" s="2"/>
    </row>
    <row r="6" spans="1:12" customHeight="1" ht="23">
      <c r="A6" s="15"/>
      <c r="B6" s="19" t="s">
        <v>2</v>
      </c>
      <c r="C6" s="19"/>
      <c r="D6" s="19"/>
      <c r="E6" s="19"/>
      <c r="F6" s="19"/>
      <c r="G6" s="19"/>
      <c r="H6" s="19"/>
      <c r="I6" s="19"/>
      <c r="J6" s="19"/>
      <c r="K6" s="19"/>
      <c r="L6" s="2"/>
    </row>
    <row r="7" spans="1:12" customHeight="1" ht="6" s="1" customFormat="1">
      <c r="A7" s="15"/>
      <c r="B7" s="20"/>
      <c r="C7" s="20"/>
      <c r="D7" s="20"/>
      <c r="E7" s="20"/>
      <c r="F7" s="20"/>
      <c r="G7" s="20"/>
      <c r="H7" s="20"/>
      <c r="I7" s="20"/>
      <c r="J7" s="20"/>
      <c r="K7" s="20"/>
      <c r="L7" s="2"/>
    </row>
    <row r="8" spans="1:12" customHeight="1" ht="23">
      <c r="A8" s="15"/>
      <c r="B8" s="21" t="s">
        <v>3</v>
      </c>
      <c r="C8" s="4"/>
      <c r="D8" s="30"/>
      <c r="E8" s="30"/>
      <c r="F8" s="21" t="s">
        <v>4</v>
      </c>
      <c r="G8" s="5"/>
      <c r="H8" s="34"/>
      <c r="I8" s="21" t="s">
        <v>5</v>
      </c>
      <c r="J8" s="12"/>
      <c r="K8" s="34"/>
      <c r="L8" s="2"/>
    </row>
    <row r="9" spans="1:12" customHeight="1" ht="23">
      <c r="A9" s="15"/>
      <c r="B9" s="22"/>
      <c r="C9" s="22"/>
      <c r="D9" s="22"/>
      <c r="E9" s="22"/>
      <c r="F9" s="22"/>
      <c r="G9" s="22"/>
      <c r="H9" s="22"/>
      <c r="I9" s="22"/>
      <c r="J9" s="22"/>
      <c r="K9" s="22"/>
      <c r="L9" s="2"/>
    </row>
    <row r="10" spans="1:12" customHeight="1" ht="23">
      <c r="A10" s="15"/>
      <c r="B10" s="19" t="s">
        <v>6</v>
      </c>
      <c r="C10" s="19"/>
      <c r="D10" s="19"/>
      <c r="E10" s="19"/>
      <c r="F10" s="19"/>
      <c r="G10" s="19"/>
      <c r="H10" s="19"/>
      <c r="I10" s="19"/>
      <c r="J10" s="19"/>
      <c r="K10" s="19"/>
      <c r="L10" s="2"/>
    </row>
    <row r="11" spans="1:12" customHeight="1" ht="5">
      <c r="A11" s="1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"/>
    </row>
    <row r="12" spans="1:12" customHeight="1" ht="23">
      <c r="A12" s="15"/>
      <c r="B12" s="23" t="s">
        <v>7</v>
      </c>
      <c r="C12" s="7"/>
      <c r="D12" s="31"/>
      <c r="E12" s="31"/>
      <c r="F12" s="31"/>
      <c r="G12" s="31"/>
      <c r="H12" s="31"/>
      <c r="I12" s="31"/>
      <c r="J12" s="31"/>
      <c r="K12" s="51"/>
      <c r="L12" s="2"/>
    </row>
    <row r="13" spans="1:12" customHeight="1" ht="23">
      <c r="A13" s="15"/>
      <c r="B13" s="23" t="s">
        <v>8</v>
      </c>
      <c r="C13" s="7"/>
      <c r="D13" s="31"/>
      <c r="E13" s="31"/>
      <c r="F13" s="31"/>
      <c r="G13" s="31"/>
      <c r="H13" s="31"/>
      <c r="I13" s="31"/>
      <c r="J13" s="31"/>
      <c r="K13" s="22"/>
      <c r="L13" s="2"/>
    </row>
    <row r="14" spans="1:12" customHeight="1" ht="23">
      <c r="A14" s="15"/>
      <c r="B14" s="23" t="s">
        <v>9</v>
      </c>
      <c r="C14" s="7"/>
      <c r="D14" s="31"/>
      <c r="E14" s="31"/>
      <c r="F14" s="31"/>
      <c r="G14" s="31"/>
      <c r="H14" s="31"/>
      <c r="I14" s="31"/>
      <c r="J14" s="31"/>
      <c r="K14" s="22"/>
      <c r="L14" s="2"/>
    </row>
    <row r="15" spans="1:12" customHeight="1" ht="23">
      <c r="A15" s="1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"/>
    </row>
    <row r="16" spans="1:12" customHeight="1" ht="23">
      <c r="A16" s="15"/>
      <c r="B16" s="24" t="s">
        <v>10</v>
      </c>
      <c r="C16" s="24"/>
      <c r="D16" s="24"/>
      <c r="E16" s="24"/>
      <c r="F16" s="24"/>
      <c r="G16" s="24"/>
      <c r="H16" s="24"/>
      <c r="I16" s="24"/>
      <c r="J16" s="24"/>
      <c r="K16" s="24"/>
      <c r="L16" s="2"/>
    </row>
    <row r="17" spans="1:12" customHeight="1" ht="5">
      <c r="A17" s="1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"/>
    </row>
    <row r="18" spans="1:12" customHeight="1" ht="23">
      <c r="A18" s="15"/>
      <c r="B18" s="23" t="s">
        <v>11</v>
      </c>
      <c r="C18" s="23"/>
      <c r="D18" s="4"/>
      <c r="E18" s="30"/>
      <c r="F18" s="30"/>
      <c r="G18" s="30"/>
      <c r="H18" s="30"/>
      <c r="I18" s="30"/>
      <c r="J18" s="30"/>
      <c r="K18" s="30"/>
      <c r="L18" s="2"/>
    </row>
    <row r="19" spans="1:12" customHeight="1" ht="23">
      <c r="A19" s="15"/>
      <c r="B19" s="23" t="s">
        <v>12</v>
      </c>
      <c r="C19" s="28"/>
      <c r="D19" s="7"/>
      <c r="E19" s="33" t="s">
        <v>13</v>
      </c>
      <c r="F19" s="7"/>
      <c r="G19" s="31"/>
      <c r="H19" s="31"/>
      <c r="I19" s="31"/>
      <c r="J19" s="31"/>
      <c r="K19" s="31"/>
      <c r="L19" s="2"/>
    </row>
    <row r="20" spans="1:12" customHeight="1" ht="23">
      <c r="A20" s="1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"/>
    </row>
    <row r="21" spans="1:12" customHeight="1" ht="23">
      <c r="A21" s="15"/>
      <c r="B21" s="19" t="s">
        <v>14</v>
      </c>
      <c r="C21" s="19"/>
      <c r="D21" s="19"/>
      <c r="E21" s="19"/>
      <c r="F21" s="19"/>
      <c r="G21" s="19"/>
      <c r="H21" s="19"/>
      <c r="I21" s="19"/>
      <c r="J21" s="19"/>
      <c r="K21" s="19"/>
      <c r="L21" s="2"/>
    </row>
    <row r="22" spans="1:12" customHeight="1" ht="5">
      <c r="A22" s="1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"/>
    </row>
    <row r="23" spans="1:12" customHeight="1" ht="23">
      <c r="A23" s="15"/>
      <c r="B23" s="23" t="s">
        <v>15</v>
      </c>
      <c r="C23" s="28"/>
      <c r="D23" s="12"/>
      <c r="E23" s="34"/>
      <c r="F23" s="40"/>
      <c r="G23" s="43" t="s">
        <v>16</v>
      </c>
      <c r="H23" s="45"/>
      <c r="I23" s="8"/>
      <c r="J23" s="48"/>
      <c r="K23" s="48"/>
      <c r="L23" s="2"/>
    </row>
    <row r="24" spans="1:12" customHeight="1" ht="23">
      <c r="A24" s="15"/>
      <c r="B24" s="23" t="s">
        <v>17</v>
      </c>
      <c r="C24" s="28"/>
      <c r="D24" s="9"/>
      <c r="E24" s="35"/>
      <c r="F24" s="40"/>
      <c r="G24" s="43" t="s">
        <v>18</v>
      </c>
      <c r="H24" s="45"/>
      <c r="I24" s="9"/>
      <c r="J24" s="49"/>
      <c r="K24" s="35"/>
      <c r="L24" s="2"/>
    </row>
    <row r="25" spans="1:12" customHeight="1" ht="23">
      <c r="A25" s="15"/>
      <c r="B25" s="23" t="s">
        <v>19</v>
      </c>
      <c r="C25" s="28"/>
      <c r="D25" s="10"/>
      <c r="E25" s="36"/>
      <c r="F25" s="41"/>
      <c r="G25" s="44" t="s">
        <v>20</v>
      </c>
      <c r="H25" s="46"/>
      <c r="I25" s="8"/>
      <c r="J25" s="48"/>
      <c r="K25" s="48"/>
      <c r="L25" s="2"/>
    </row>
    <row r="26" spans="1:12" customHeight="1" ht="23">
      <c r="A26" s="1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"/>
    </row>
    <row r="27" spans="1:12" customHeight="1" ht="23">
      <c r="A27" s="15"/>
      <c r="B27" s="19" t="s">
        <v>21</v>
      </c>
      <c r="C27" s="19"/>
      <c r="D27" s="19"/>
      <c r="E27" s="19"/>
      <c r="F27" s="19"/>
      <c r="G27" s="19"/>
      <c r="H27" s="19"/>
      <c r="I27" s="19"/>
      <c r="J27" s="19"/>
      <c r="K27" s="19"/>
      <c r="L27" s="2"/>
    </row>
    <row r="28" spans="1:12" customHeight="1" ht="5">
      <c r="A28" s="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"/>
    </row>
    <row r="29" spans="1:12" customHeight="1" ht="23">
      <c r="A29" s="15"/>
      <c r="B29" s="23" t="s">
        <v>22</v>
      </c>
      <c r="C29" s="28"/>
      <c r="D29" s="6"/>
      <c r="E29" s="37"/>
      <c r="F29" s="40"/>
      <c r="G29" s="43"/>
      <c r="H29" s="45"/>
      <c r="I29" s="47"/>
      <c r="J29" s="47"/>
      <c r="K29" s="47"/>
      <c r="L29" s="2"/>
    </row>
    <row r="30" spans="1:12" customHeight="1" ht="23">
      <c r="A30" s="15"/>
      <c r="B30" s="23" t="s">
        <v>23</v>
      </c>
      <c r="C30" s="28"/>
      <c r="D30" s="13"/>
      <c r="E30" s="35"/>
      <c r="F30" s="40"/>
      <c r="G30" s="43" t="s">
        <v>24</v>
      </c>
      <c r="H30" s="45"/>
      <c r="I30" s="13"/>
      <c r="J30" s="49"/>
      <c r="K30" s="35"/>
      <c r="L30" s="2"/>
    </row>
    <row r="31" spans="1:12" customHeight="1" ht="23">
      <c r="A31" s="15"/>
      <c r="B31" s="23" t="s">
        <v>25</v>
      </c>
      <c r="C31" s="28"/>
      <c r="D31" s="13"/>
      <c r="E31" s="35"/>
      <c r="F31" s="41"/>
      <c r="G31" s="44" t="s">
        <v>26</v>
      </c>
      <c r="H31" s="46"/>
      <c r="I31" s="14"/>
      <c r="J31" s="48"/>
      <c r="K31" s="48"/>
      <c r="L31" s="2"/>
    </row>
    <row r="32" spans="1:12" customHeight="1" ht="23">
      <c r="A32" s="15"/>
      <c r="B32" s="23" t="s">
        <v>27</v>
      </c>
      <c r="C32" s="28"/>
      <c r="D32" s="55" t="str">
        <f>IF(COUNT(D30,I30,D31,I31)=0,"",SUM(D30,I30,D31,I31))</f>
        <v/>
      </c>
      <c r="E32" s="56"/>
      <c r="F32" s="41"/>
      <c r="G32" s="57" t="str">
        <f>IF(AND(ISNUMBER(D32),AND(D29="USD",OR(D32&lt;25,D32&gt;600000))),"Fuera de rango: USD 25 a 600,000",IF(AND(ISNUMBER(D32),AND(D29="PESOS",OR(D32&lt;500,D32&gt;12000000))),"Fuera de rango: MXN 500 a 12,000,000",""))</f>
        <v/>
      </c>
      <c r="H32" s="58"/>
      <c r="I32" s="59"/>
      <c r="J32" s="59"/>
      <c r="K32" s="59"/>
      <c r="L32" s="2"/>
    </row>
    <row r="33" spans="1:12" customHeight="1" ht="23">
      <c r="A33" s="1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"/>
    </row>
    <row r="34" spans="1:12" customHeight="1" ht="23">
      <c r="A34" s="15"/>
      <c r="B34" s="19" t="s">
        <v>28</v>
      </c>
      <c r="C34" s="19"/>
      <c r="D34" s="19"/>
      <c r="E34" s="19"/>
      <c r="F34" s="19"/>
      <c r="G34" s="19"/>
      <c r="H34" s="19"/>
      <c r="I34" s="19"/>
      <c r="J34" s="19"/>
      <c r="K34" s="19"/>
      <c r="L34" s="2"/>
    </row>
    <row r="35" spans="1:12" customHeight="1" ht="5">
      <c r="A35" s="15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"/>
    </row>
    <row r="36" spans="1:12" customHeight="1" ht="23">
      <c r="A36" s="15"/>
      <c r="B36" s="23" t="s">
        <v>7</v>
      </c>
      <c r="C36" s="7"/>
      <c r="D36" s="31"/>
      <c r="E36" s="31"/>
      <c r="F36" s="31"/>
      <c r="G36" s="31"/>
      <c r="H36" s="31"/>
      <c r="I36" s="31"/>
      <c r="J36" s="31"/>
      <c r="K36" s="51"/>
      <c r="L36" s="2"/>
    </row>
    <row r="37" spans="1:12" customHeight="1" ht="23">
      <c r="A37" s="15"/>
      <c r="B37" s="23" t="s">
        <v>8</v>
      </c>
      <c r="C37" s="7"/>
      <c r="D37" s="31"/>
      <c r="E37" s="31"/>
      <c r="F37" s="31"/>
      <c r="G37" s="31"/>
      <c r="H37" s="31"/>
      <c r="I37" s="31"/>
      <c r="J37" s="31"/>
      <c r="K37" s="22"/>
      <c r="L37" s="2"/>
    </row>
    <row r="38" spans="1:12" customHeight="1" ht="23">
      <c r="A38" s="15"/>
      <c r="B38" s="23" t="s">
        <v>9</v>
      </c>
      <c r="C38" s="7"/>
      <c r="D38" s="31"/>
      <c r="E38" s="31"/>
      <c r="F38" s="31"/>
      <c r="G38" s="31"/>
      <c r="H38" s="31"/>
      <c r="I38" s="31"/>
      <c r="J38" s="31"/>
      <c r="K38" s="22"/>
      <c r="L38" s="2"/>
    </row>
    <row r="39" spans="1:12" customHeight="1" ht="23">
      <c r="A39" s="15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"/>
    </row>
    <row r="40" spans="1:12" customHeight="1" ht="23">
      <c r="A40" s="15"/>
      <c r="B40" s="19" t="s">
        <v>29</v>
      </c>
      <c r="C40" s="19"/>
      <c r="D40" s="19"/>
      <c r="E40" s="19"/>
      <c r="F40" s="19"/>
      <c r="G40" s="19"/>
      <c r="H40" s="19"/>
      <c r="I40" s="19"/>
      <c r="J40" s="19"/>
      <c r="K40" s="19"/>
      <c r="L40" s="2"/>
    </row>
    <row r="41" spans="1:12" customHeight="1" ht="5">
      <c r="A41" s="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"/>
    </row>
    <row r="42" spans="1:12" customHeight="1" ht="23">
      <c r="A42" s="15"/>
      <c r="B42" s="23" t="s">
        <v>7</v>
      </c>
      <c r="C42" s="7"/>
      <c r="D42" s="31"/>
      <c r="E42" s="31"/>
      <c r="F42" s="31"/>
      <c r="G42" s="31"/>
      <c r="H42" s="31"/>
      <c r="I42" s="31"/>
      <c r="J42" s="31"/>
      <c r="K42" s="51"/>
      <c r="L42" s="2"/>
    </row>
    <row r="43" spans="1:12" customHeight="1" ht="23">
      <c r="A43" s="15"/>
      <c r="B43" s="23" t="s">
        <v>8</v>
      </c>
      <c r="C43" s="7"/>
      <c r="D43" s="31"/>
      <c r="E43" s="31"/>
      <c r="F43" s="31"/>
      <c r="G43" s="31"/>
      <c r="H43" s="31"/>
      <c r="I43" s="31"/>
      <c r="J43" s="31"/>
      <c r="K43" s="22"/>
      <c r="L43" s="2"/>
    </row>
    <row r="44" spans="1:12" customHeight="1" ht="23">
      <c r="A44" s="15"/>
      <c r="B44" s="23" t="s">
        <v>9</v>
      </c>
      <c r="C44" s="7"/>
      <c r="D44" s="31"/>
      <c r="E44" s="31"/>
      <c r="F44" s="31"/>
      <c r="G44" s="31"/>
      <c r="H44" s="31"/>
      <c r="I44" s="31"/>
      <c r="J44" s="31"/>
      <c r="K44" s="22"/>
      <c r="L44" s="2"/>
    </row>
    <row r="45" spans="1:12" customHeight="1" ht="23">
      <c r="A45" s="15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"/>
    </row>
    <row r="46" spans="1:12" customHeight="1" ht="23">
      <c r="A46" s="15"/>
      <c r="B46" s="19" t="s">
        <v>30</v>
      </c>
      <c r="C46" s="19"/>
      <c r="D46" s="19"/>
      <c r="E46" s="19"/>
      <c r="F46" s="19"/>
      <c r="G46" s="19"/>
      <c r="H46" s="19"/>
      <c r="I46" s="19"/>
      <c r="J46" s="19"/>
      <c r="K46" s="19"/>
      <c r="L46" s="2"/>
    </row>
    <row r="47" spans="1:12" customHeight="1" ht="5">
      <c r="A47" s="1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"/>
    </row>
    <row r="48" spans="1:12" customHeight="1" ht="23">
      <c r="A48" s="15"/>
      <c r="B48" s="23" t="s">
        <v>31</v>
      </c>
      <c r="C48" s="8"/>
      <c r="D48" s="29"/>
      <c r="E48" s="38" t="s">
        <v>32</v>
      </c>
      <c r="F48" s="8"/>
      <c r="G48" s="29"/>
      <c r="H48" s="38" t="s">
        <v>33</v>
      </c>
      <c r="I48" s="9"/>
      <c r="J48" s="50"/>
      <c r="K48" s="32"/>
      <c r="L48" s="2"/>
    </row>
    <row r="49" spans="1:12" customHeight="1" ht="23">
      <c r="A49" s="15"/>
      <c r="B49" s="25" t="s">
        <v>34</v>
      </c>
      <c r="C49" s="54"/>
      <c r="D49" s="53"/>
      <c r="E49" s="38" t="s">
        <v>35</v>
      </c>
      <c r="F49" s="8"/>
      <c r="G49" s="29"/>
      <c r="H49" s="38" t="s">
        <v>36</v>
      </c>
      <c r="I49" s="9"/>
      <c r="J49" s="50"/>
      <c r="K49" s="32"/>
      <c r="L49" s="2"/>
    </row>
    <row r="50" spans="1:12" customHeight="1" ht="23">
      <c r="A50" s="15"/>
      <c r="B50" s="25" t="s">
        <v>37</v>
      </c>
      <c r="C50" s="54"/>
      <c r="D50" s="53"/>
      <c r="E50" s="38" t="s">
        <v>38</v>
      </c>
      <c r="F50" s="8"/>
      <c r="G50" s="29"/>
      <c r="H50" s="38" t="s">
        <v>39</v>
      </c>
      <c r="I50" s="9"/>
      <c r="J50" s="50"/>
      <c r="K50" s="32"/>
      <c r="L50" s="2"/>
    </row>
    <row r="51" spans="1:12" customHeight="1" ht="2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"/>
    </row>
    <row r="52" spans="1:12" customHeight="1" ht="23">
      <c r="A52" s="15"/>
      <c r="B52" s="19" t="s">
        <v>40</v>
      </c>
      <c r="C52" s="19"/>
      <c r="D52" s="19"/>
      <c r="E52" s="19"/>
      <c r="F52" s="19"/>
      <c r="G52" s="19"/>
      <c r="H52" s="19"/>
      <c r="I52" s="19"/>
      <c r="J52" s="19"/>
      <c r="K52" s="19"/>
      <c r="L52" s="2"/>
    </row>
    <row r="53" spans="1:12" customHeight="1" ht="5">
      <c r="A53" s="15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"/>
    </row>
    <row r="54" spans="1:12" customHeight="1" ht="23">
      <c r="A54" s="15"/>
      <c r="B54" s="23"/>
      <c r="C54" s="28"/>
      <c r="D54" s="11"/>
      <c r="E54" s="39" t="s">
        <v>41</v>
      </c>
      <c r="F54" s="42"/>
      <c r="G54" s="42"/>
      <c r="H54" s="42"/>
      <c r="I54" s="42"/>
      <c r="J54" s="42"/>
      <c r="K54" s="52"/>
      <c r="L54" s="2"/>
    </row>
    <row r="55" spans="1:1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"/>
    </row>
    <row r="56" spans="1:12">
      <c r="A56" s="15"/>
      <c r="B56" s="26" t="s">
        <v>42</v>
      </c>
      <c r="C56" s="27"/>
      <c r="D56" s="27"/>
      <c r="E56" s="27"/>
      <c r="F56" s="27"/>
      <c r="G56" s="27"/>
      <c r="H56" s="27"/>
      <c r="I56" s="27"/>
      <c r="J56" s="27"/>
      <c r="K56" s="27"/>
      <c r="L56" s="2"/>
    </row>
    <row r="57" spans="1:12">
      <c r="A57" s="1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"/>
    </row>
    <row r="58" spans="1:12">
      <c r="A58" s="1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"/>
    </row>
    <row r="59" spans="1:12">
      <c r="A59" s="1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"/>
    </row>
    <row r="60" spans="1:12">
      <c r="A60" s="1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sheetProtection password="9328" sheet="1" formatCells="0" formatColumns="0" formatRows="0" insertColumns="1" insertRows="1" deleteColumns="1" deleteRows="1" sort="1" selectLockedCells="0" selectUnlockedCells="0"/>
  <mergeCells>
    <mergeCell ref="B56:K60"/>
    <mergeCell ref="B52:K52"/>
    <mergeCell ref="B53:K53"/>
    <mergeCell ref="B54:C54"/>
    <mergeCell ref="E54:K54"/>
    <mergeCell ref="F49:G49"/>
    <mergeCell ref="I49:J49"/>
    <mergeCell ref="B49:C49"/>
    <mergeCell ref="B50:C50"/>
    <mergeCell ref="F50:G50"/>
    <mergeCell ref="I50:J50"/>
    <mergeCell ref="B46:K46"/>
    <mergeCell ref="B47:K47"/>
    <mergeCell ref="F48:G48"/>
    <mergeCell ref="C48:D48"/>
    <mergeCell ref="I48:J48"/>
    <mergeCell ref="C38:J38"/>
    <mergeCell ref="B40:K40"/>
    <mergeCell ref="B41:K41"/>
    <mergeCell ref="C42:J42"/>
    <mergeCell ref="C43:J43"/>
    <mergeCell ref="C44:J44"/>
    <mergeCell ref="B34:K34"/>
    <mergeCell ref="B35:K35"/>
    <mergeCell ref="C36:J36"/>
    <mergeCell ref="C37:J37"/>
    <mergeCell ref="B31:C31"/>
    <mergeCell ref="D31:E31"/>
    <mergeCell ref="G31:H31"/>
    <mergeCell ref="I31:K31"/>
    <mergeCell ref="B32:C32"/>
    <mergeCell ref="D32:E32"/>
    <mergeCell ref="B29:C29"/>
    <mergeCell ref="G29:H29"/>
    <mergeCell ref="I29:K29"/>
    <mergeCell ref="B30:C30"/>
    <mergeCell ref="D30:E30"/>
    <mergeCell ref="G30:H30"/>
    <mergeCell ref="I30:K30"/>
    <mergeCell ref="B27:K27"/>
    <mergeCell ref="B28:K28"/>
    <mergeCell ref="I24:K24"/>
    <mergeCell ref="I25:K25"/>
    <mergeCell ref="D24:E24"/>
    <mergeCell ref="D25:E25"/>
    <mergeCell ref="C12:J12"/>
    <mergeCell ref="C13:J13"/>
    <mergeCell ref="C14:J14"/>
    <mergeCell ref="B23:C23"/>
    <mergeCell ref="D23:E23"/>
    <mergeCell ref="B24:C24"/>
    <mergeCell ref="B25:C25"/>
    <mergeCell ref="G23:H23"/>
    <mergeCell ref="G24:H24"/>
    <mergeCell ref="G25:H25"/>
    <mergeCell ref="I23:K23"/>
    <mergeCell ref="B21:K21"/>
    <mergeCell ref="B22:K22"/>
    <mergeCell ref="D18:K18"/>
    <mergeCell ref="B19:C19"/>
    <mergeCell ref="F19:K19"/>
    <mergeCell ref="B18:C18"/>
    <mergeCell ref="B16:K16"/>
    <mergeCell ref="B17:K17"/>
    <mergeCell ref="B10:K10"/>
    <mergeCell ref="B7:K7"/>
    <mergeCell ref="B11:K11"/>
    <mergeCell ref="C8:E8"/>
    <mergeCell ref="B3:K4"/>
    <mergeCell ref="B2:K2"/>
    <mergeCell ref="B5:K5"/>
    <mergeCell ref="B6:K6"/>
    <mergeCell ref="J8:K8"/>
    <mergeCell ref="G8:H8"/>
    <mergeCell ref="G32:K32"/>
  </mergeCells>
  <conditionalFormatting sqref="C8:E8">
    <cfRule type="expression" dxfId="0" priority="1">
      <formula>LEN(TRIM($C$8))=0</formula>
    </cfRule>
  </conditionalFormatting>
  <conditionalFormatting sqref="C12:J12">
    <cfRule type="expression" dxfId="1" priority="2">
      <formula>LEN(TRIM($C$12))=0</formula>
    </cfRule>
  </conditionalFormatting>
  <conditionalFormatting sqref="D18:K18">
    <cfRule type="expression" dxfId="2" priority="3">
      <formula>LEN(TRIM($D$18))=0</formula>
    </cfRule>
  </conditionalFormatting>
  <conditionalFormatting sqref="D23:E23">
    <cfRule type="expression" dxfId="3" priority="4">
      <formula>LEN(TRIM($D$23))=0</formula>
    </cfRule>
  </conditionalFormatting>
  <conditionalFormatting sqref="I23:K23">
    <cfRule type="expression" dxfId="4" priority="5">
      <formula>LEN(TRIM($I$23))=0</formula>
    </cfRule>
  </conditionalFormatting>
  <conditionalFormatting sqref="D24:E24">
    <cfRule type="expression" dxfId="5" priority="6">
      <formula>LEN(TRIM($D$24))=0</formula>
    </cfRule>
  </conditionalFormatting>
  <conditionalFormatting sqref="D25:E25">
    <cfRule type="expression" dxfId="6" priority="7">
      <formula>LEN(TRIM($D$25))=0</formula>
    </cfRule>
  </conditionalFormatting>
  <conditionalFormatting sqref="D30:E30">
    <cfRule type="expression" dxfId="7" priority="8">
      <formula>LEN(TRIM($D$30))=0</formula>
    </cfRule>
  </conditionalFormatting>
  <conditionalFormatting sqref="D29">
    <cfRule type="expression" dxfId="8" priority="8">
      <formula>LEN(TRIM($D$29))=0</formula>
    </cfRule>
  </conditionalFormatting>
  <conditionalFormatting sqref="D32:E32">
    <cfRule type="expression" dxfId="9" priority="9">
      <formula>AND(ISNUMBER($D$32),OR(AND($D$29="USD",OR($D$32&lt;25,$D$32&gt;600000)),AND($D$29="PESOS",OR($D$32&lt;500,$D$32&gt;12000000))))</formula>
    </cfRule>
  </conditionalFormatting>
  <dataValidations count="10">
    <dataValidation type="list" errorStyle="stop" operator="between" allowBlank="0" showDropDown="0" showInputMessage="1" showErrorMessage="1" errorTitle="Opción inválida" error="Selecciona una opción de la lista." sqref="D19">
      <formula1>"Nueva,Usada"</formula1>
    </dataValidation>
    <dataValidation type="list" errorStyle="stop" operator="between" allowBlank="0" showDropDown="0" showInputMessage="1" showErrorMessage="1" errorTitle="Opción inválida" error="Selecciona una opción de la lista." sqref="D29">
      <formula1>"USD,PESOS"</formula1>
    </dataValidation>
    <dataValidation type="list" errorStyle="stop" operator="between" allowBlank="0" showDropDown="0" showInputMessage="1" showErrorMessage="1" errorTitle="Opción inválida" error="Selecciona una opción de la lista." sqref="D54">
      <formula1>"SI,NO"</formula1>
    </dataValidation>
    <dataValidation type="list" errorStyle="stop" operator="between" allowBlank="0" showDropDown="0" showInputMessage="1" showErrorMessage="1" errorTitle="Opción inválida" error="Selecciona una opción de la lista." sqref="I23">
      <formula1>"Terrestre,Marítimo,Aéreo,Multimodal"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D30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I30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D31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I31">
      <formula1>0</formula1>
    </dataValidation>
    <dataValidation type="date" errorStyle="stop" operator="between" allowBlank="1" showDropDown="1" showInputMessage="1" showErrorMessage="1" errorTitle="Fecha no válida" error="Escribe una fecha real, por ejemplo 24/09/2026. Si tu Excel no la acepta así, escríbela con el formato de fecha de tu computadora." promptTitle="Fecha" prompt="Escribe la fecha, por ejemplo 24/09/2026." sqref="J8:K8">
      <formula1>DATE(2000,1,1)</formula1>
      <formula2>DATE(2100,12,31)</formula2>
    </dataValidation>
    <dataValidation type="date" errorStyle="stop" operator="between" allowBlank="1" showDropDown="1" showInputMessage="1" showErrorMessage="1" errorTitle="Fecha no válida" error="Escribe una fecha real, por ejemplo 24/09/2026. Si tu Excel no la acepta así, escríbela con el formato de fecha de tu computadora." promptTitle="Fecha" prompt="Escribe la fecha, por ejemplo 24/09/2026." sqref="D23:E23">
      <formula1>DATE(2000,1,1)</formula1>
      <formula2>DATE(2100,12,31)</formula2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N2"/>
  <sheetViews>
    <sheetView tabSelected="0" workbookViewId="0" showGridLines="true" showRowColHeaders="1">
      <selection activeCell="AL2" sqref="AL2"/>
    </sheetView>
  </sheetViews>
  <sheetFormatPr defaultRowHeight="14.4" outlineLevelRow="0" outlineLevelCol="0"/>
  <cols>
    <col min="38" max="38" width="9.1" customWidth="true" style="0"/>
    <col min="39" max="39" width="9.1" customWidth="true" style="0"/>
    <col min="40" max="40" width="9.1" customWidth="true" style="0"/>
  </cols>
  <sheetData>
    <row r="1" spans="1:40" s="3" customFormat="1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</row>
    <row r="2" spans="1:40">
      <c r="A2" t="str">
        <f>""</f>
        <v/>
      </c>
      <c r="B2" t="str">
        <f>"Seguros Atlas"</f>
        <v>Seguros Atlas</v>
      </c>
      <c r="C2" t="str">
        <f>"Constancia"</f>
        <v>Constancia</v>
      </c>
      <c r="D2">
        <f>Solicitud!C8</f>
        <v>0</v>
      </c>
      <c r="E2">
        <f>Solicitud!G8</f>
        <v>0</v>
      </c>
      <c r="F2">
        <f>Solicitud!J8</f>
        <v>0</v>
      </c>
      <c r="G2">
        <f>Solicitud!C12</f>
        <v>0</v>
      </c>
      <c r="H2">
        <f>Solicitud!C13</f>
        <v>0</v>
      </c>
      <c r="I2">
        <f>Solicitud!C14</f>
        <v>0</v>
      </c>
      <c r="J2">
        <f>Solicitud!D19</f>
        <v>0</v>
      </c>
      <c r="K2">
        <f>Solicitud!D18</f>
        <v>0</v>
      </c>
      <c r="L2">
        <f>Solicitud!F19</f>
        <v>0</v>
      </c>
      <c r="M2">
        <f>Solicitud!D23</f>
        <v>0</v>
      </c>
      <c r="N2">
        <f>Solicitud!D24</f>
        <v>0</v>
      </c>
      <c r="O2">
        <f>Solicitud!I24</f>
        <v>0</v>
      </c>
      <c r="P2">
        <f>Solicitud!D25</f>
        <v>0</v>
      </c>
      <c r="Q2">
        <f>Solicitud!I25</f>
        <v>0</v>
      </c>
      <c r="R2">
        <f>Solicitud!I23</f>
        <v>0</v>
      </c>
      <c r="S2">
        <f>IF(OR(UPPER(Solicitud!D29)="MXN",UPPER(Solicitud!D29)="PESOS"),"pesos",IF(UPPER(Solicitud!D29)="USD","usd",Solicitud!D29))</f>
        <v>0</v>
      </c>
      <c r="T2">
        <f>Solicitud!D30</f>
        <v>0</v>
      </c>
      <c r="U2">
        <f>Solicitud!I30</f>
        <v>0</v>
      </c>
      <c r="V2">
        <f>Solicitud!D31</f>
        <v>0</v>
      </c>
      <c r="W2">
        <f>Solicitud!I31</f>
        <v>0</v>
      </c>
      <c r="X2" t="str">
        <f>Solicitud!D32</f>
        <v/>
      </c>
      <c r="Y2">
        <f>Solicitud!C36</f>
        <v>0</v>
      </c>
      <c r="Z2">
        <f>Solicitud!C37</f>
        <v>0</v>
      </c>
      <c r="AA2">
        <f>Solicitud!C38</f>
        <v>0</v>
      </c>
      <c r="AB2">
        <f>Solicitud!C42</f>
        <v>0</v>
      </c>
      <c r="AC2">
        <f>Solicitud!C43</f>
        <v>0</v>
      </c>
      <c r="AD2">
        <f>Solicitud!C44</f>
        <v>0</v>
      </c>
      <c r="AE2">
        <f>Solicitud!C48</f>
        <v>0</v>
      </c>
      <c r="AF2">
        <f>Solicitud!D49</f>
        <v>0</v>
      </c>
      <c r="AG2">
        <f>Solicitud!D50</f>
        <v>0</v>
      </c>
      <c r="AH2">
        <f>Solicitud!F49</f>
        <v>0</v>
      </c>
      <c r="AI2">
        <f>Solicitud!F50</f>
        <v>0</v>
      </c>
      <c r="AJ2">
        <f>Solicitud!I49</f>
        <v>0</v>
      </c>
      <c r="AK2">
        <f>Solicitud!I50</f>
        <v>0</v>
      </c>
      <c r="AL2" t="str">
        <f>IF(UPPER(Solicitud!D54)="SI","si",IF(UPPER(Solicitud!D54)="SÍ","si",""))</f>
        <v/>
      </c>
      <c r="AM2">
        <f>Solicitud!F48</f>
        <v>0</v>
      </c>
      <c r="AN2">
        <f>Solicitud!I48</f>
        <v>0</v>
      </c>
    </row>
  </sheetData>
  <sheetProtection password="9328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Solicitud</vt:lpstr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Raúl Perea Herrera</dc:creator>
  <cp:lastModifiedBy>José Raúl Perea Herrera</cp:lastModifiedBy>
  <dcterms:created xsi:type="dcterms:W3CDTF">2026-05-29T16:32:49-06:00</dcterms:created>
  <dcterms:modified xsi:type="dcterms:W3CDTF">2026-05-29T17:57:05-06:00</dcterms:modified>
  <dc:title/>
  <dc:description/>
  <dc:subject/>
  <cp:keywords/>
  <cp:category/>
</cp:coreProperties>
</file>