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josera/Documents/drupal-proyectos/primer-drupal/docs/"/>
    </mc:Choice>
  </mc:AlternateContent>
  <xr:revisionPtr revIDLastSave="0" documentId="13_ncr:1_{125F1DD9-E501-3746-8125-BEBD7AD8C9B3}" xr6:coauthVersionLast="47" xr6:coauthVersionMax="47" xr10:uidLastSave="{00000000-0000-0000-0000-000000000000}"/>
  <bookViews>
    <workbookView xWindow="0" yWindow="660" windowWidth="34560" windowHeight="20440" xr2:uid="{00000000-000D-0000-FFFF-FFFF00000000}"/>
  </bookViews>
  <sheets>
    <sheet name="Solicitud" sheetId="1" r:id="rId1"/>
    <sheet name="Datos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" i="2" l="1"/>
  <c r="AH2" i="2"/>
  <c r="AG2" i="2"/>
  <c r="AF2" i="2"/>
  <c r="AE2" i="2"/>
  <c r="AD2" i="2"/>
  <c r="AC2" i="2"/>
  <c r="AB2" i="2"/>
  <c r="AA2" i="2"/>
  <c r="Z2" i="2"/>
  <c r="Y2" i="2"/>
  <c r="X2" i="2"/>
  <c r="W2" i="2"/>
  <c r="V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B2" i="2"/>
  <c r="A2" i="2"/>
  <c r="B29" i="1"/>
  <c r="U2" i="2" s="1"/>
</calcChain>
</file>

<file path=xl/sharedStrings.xml><?xml version="1.0" encoding="utf-8"?>
<sst xmlns="http://schemas.openxmlformats.org/spreadsheetml/2006/main" count="110" uniqueCount="104">
  <si>
    <t>SOLICITUD DE ASEGURAMIENTO DE MERCANCÍA</t>
  </si>
  <si>
    <t>Complete únicamente las celdas en azul claro. Envíe este archivo Excel como adjunto, una solicitud por correo.</t>
  </si>
  <si>
    <t>1. Solicitante</t>
  </si>
  <si>
    <t>Solicitante</t>
  </si>
  <si>
    <t>Teléfono</t>
  </si>
  <si>
    <t>Fecha</t>
  </si>
  <si>
    <t>2. Beneficiario del seguro</t>
  </si>
  <si>
    <t>Nombre</t>
  </si>
  <si>
    <t>Domicilio</t>
  </si>
  <si>
    <t>Contacto</t>
  </si>
  <si>
    <t>3. Mercancía por asegurar</t>
  </si>
  <si>
    <t>Mercancía asegurada</t>
  </si>
  <si>
    <t>Estado</t>
  </si>
  <si>
    <t>Referencia</t>
  </si>
  <si>
    <t>4. Ruta y transporte</t>
  </si>
  <si>
    <t>Fecha inicio seguro</t>
  </si>
  <si>
    <t>Medio transporte</t>
  </si>
  <si>
    <t>Ciudad origen</t>
  </si>
  <si>
    <t>País origen</t>
  </si>
  <si>
    <t>Ciudad destino</t>
  </si>
  <si>
    <t>País destino</t>
  </si>
  <si>
    <t>5. Conceptos por asegurar</t>
  </si>
  <si>
    <t>Moneda</t>
  </si>
  <si>
    <t>usd</t>
  </si>
  <si>
    <t>Valor factura</t>
  </si>
  <si>
    <t>Gastos de fletes</t>
  </si>
  <si>
    <t>Gastos incrementales</t>
  </si>
  <si>
    <t>Seguro contenedor</t>
  </si>
  <si>
    <t>Suma asegurada total</t>
  </si>
  <si>
    <t>6. Datos del consignatario</t>
  </si>
  <si>
    <t>7. Datos del proveedor</t>
  </si>
  <si>
    <t>8. Referencias</t>
  </si>
  <si>
    <t>Terrestre</t>
  </si>
  <si>
    <t>Talón embarque</t>
  </si>
  <si>
    <t>Contenedor o caja</t>
  </si>
  <si>
    <t>B/L marítimo</t>
  </si>
  <si>
    <t>Contenedor marítimo</t>
  </si>
  <si>
    <t>N° guía aérea</t>
  </si>
  <si>
    <t>Línea aérea</t>
  </si>
  <si>
    <t>9. Declaración</t>
  </si>
  <si>
    <t>sí</t>
  </si>
  <si>
    <t>Acepto que la información declarada es verídica.</t>
  </si>
  <si>
    <t>solicitante</t>
  </si>
  <si>
    <t>solicitante_telefono</t>
  </si>
  <si>
    <t>solicitud_fecha</t>
  </si>
  <si>
    <t>beneficiario_nombre</t>
  </si>
  <si>
    <t>beneficiario_domicilio</t>
  </si>
  <si>
    <t>beneficiario_contacto</t>
  </si>
  <si>
    <t>mercancia_asegurada</t>
  </si>
  <si>
    <t>mercancia_estado</t>
  </si>
  <si>
    <t>mercancia_referencia</t>
  </si>
  <si>
    <t>fecha_inicio_seguro</t>
  </si>
  <si>
    <t>origen_ciudad</t>
  </si>
  <si>
    <t>origen_pais</t>
  </si>
  <si>
    <t>destino_ciudad</t>
  </si>
  <si>
    <t>destino_pais</t>
  </si>
  <si>
    <t>medio_transporte</t>
  </si>
  <si>
    <t>moneda</t>
  </si>
  <si>
    <t>valor_factura</t>
  </si>
  <si>
    <t>gastos_fletes</t>
  </si>
  <si>
    <t>gastos_incrementales</t>
  </si>
  <si>
    <t>seguro_contenedor</t>
  </si>
  <si>
    <t>suma_asegurada_total</t>
  </si>
  <si>
    <t>consignatario_nombre</t>
  </si>
  <si>
    <t>consignatario_domicilio</t>
  </si>
  <si>
    <t>consignatario_contacto</t>
  </si>
  <si>
    <t>proveedor_nombre</t>
  </si>
  <si>
    <t>proveedor_domicilio</t>
  </si>
  <si>
    <t>proveedor_contacto</t>
  </si>
  <si>
    <t>ref_terrestre</t>
  </si>
  <si>
    <t>ref_talon_embarque</t>
  </si>
  <si>
    <t>ref_contenedor_caja</t>
  </si>
  <si>
    <t>ref_maritimo_bl</t>
  </si>
  <si>
    <t>ref_maritimo_contenedor</t>
  </si>
  <si>
    <t>ref_aereo_guia</t>
  </si>
  <si>
    <t>ref_aereo_linea</t>
  </si>
  <si>
    <t>acepta_informacion_veridica</t>
  </si>
  <si>
    <t>email</t>
  </si>
  <si>
    <t>aseguradora</t>
  </si>
  <si>
    <t>tipo_documento</t>
  </si>
  <si>
    <t>Seguros Atlas</t>
  </si>
  <si>
    <t>Constancia</t>
  </si>
  <si>
    <t>Jose Raul Perea</t>
  </si>
  <si>
    <t>Patrick Perea Navarro</t>
  </si>
  <si>
    <t>Rancho del Arco 24 interior 101</t>
  </si>
  <si>
    <t>Karla navarro</t>
  </si>
  <si>
    <t>TV plasma de 65 pulgadas</t>
  </si>
  <si>
    <t>usada</t>
  </si>
  <si>
    <t>marca samsung en buen estado</t>
  </si>
  <si>
    <t>China</t>
  </si>
  <si>
    <t>Mexico</t>
  </si>
  <si>
    <t>Cdmx</t>
  </si>
  <si>
    <t>Taiwan</t>
  </si>
  <si>
    <t>Rafael garca</t>
  </si>
  <si>
    <t>cerro de los ciruelos 303</t>
  </si>
  <si>
    <t>alabama</t>
  </si>
  <si>
    <t>josera</t>
  </si>
  <si>
    <t>cerro de tamaulipas</t>
  </si>
  <si>
    <t>camion</t>
  </si>
  <si>
    <t>contenerdo</t>
  </si>
  <si>
    <t>azul</t>
  </si>
  <si>
    <t>no</t>
  </si>
  <si>
    <t>B</t>
  </si>
  <si>
    <t>3432432h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</si>
</sst>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ptos"/>
    </font>
    <font>
      <b/>
      <sz val="18"/>
      <color rgb="FF1F3A8A"/>
      <name val="Aptos"/>
    </font>
    <font>
      <b/>
      <sz val="10"/>
      <color rgb="FFFFFFFF"/>
      <name val="Aptos"/>
    </font>
    <font>
      <b/>
      <sz val="10"/>
      <color rgb="FF000000"/>
      <name val="Aptos"/>
    </font>
  </fonts>
  <fills count="4">
    <fill>
      <patternFill patternType="none"/>
    </fill>
    <fill>
      <patternFill patternType="gray125"/>
    </fill>
    <fill>
      <patternFill patternType="solid">
        <fgColor rgb="FFEEF4FF"/>
        <bgColor rgb="FF000000"/>
      </patternFill>
    </fill>
    <fill>
      <patternFill patternType="solid">
        <fgColor rgb="FF1F3A8A"/>
        <bgColor rgb="FF000000"/>
      </patternFill>
    </fill>
  </fills>
  <borders count="2">
    <border>
      <left/>
      <right/>
      <top/>
      <bottom/>
      <diagonal/>
    </border>
    <border>
      <left style="thin">
        <color rgb="FFD4D8E1"/>
      </left>
      <right style="thin">
        <color rgb="FFD4D8E1"/>
      </right>
      <top style="thin">
        <color rgb="FFD4D8E1"/>
      </top>
      <bottom style="thin">
        <color rgb="FFD4D8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 applyProtection="1">
      <alignment vertical="center" wrapText="1"/>
      <protection locked="0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14" fontId="0" fillId="2" borderId="1" xfId="0" applyNumberFormat="1" applyFill="1" applyBorder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tabSelected="1" topLeftCell="A22" workbookViewId="0">
      <selection activeCell="B54" sqref="B54"/>
    </sheetView>
  </sheetViews>
  <sheetFormatPr baseColWidth="10" defaultColWidth="9" defaultRowHeight="14" x14ac:dyDescent="0.2"/>
  <cols>
    <col min="1" max="1" width="18" customWidth="1"/>
    <col min="2" max="2" width="22" customWidth="1"/>
    <col min="3" max="3" width="16" customWidth="1"/>
    <col min="4" max="6" width="18" customWidth="1"/>
    <col min="7" max="7" width="16" customWidth="1"/>
    <col min="8" max="8" width="18" customWidth="1"/>
    <col min="9" max="9" width="16" customWidth="1"/>
    <col min="10" max="10" width="18" customWidth="1"/>
  </cols>
  <sheetData>
    <row r="1" spans="1:10" ht="22" customHeight="1" x14ac:dyDescent="0.2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ht="22" customHeight="1" x14ac:dyDescent="0.2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 ht="22" customHeight="1" x14ac:dyDescent="0.2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</row>
    <row r="4" spans="1:10" ht="22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ht="22" customHeight="1" x14ac:dyDescent="0.2">
      <c r="A5" s="6" t="s">
        <v>2</v>
      </c>
      <c r="B5" s="6"/>
      <c r="C5" s="6"/>
      <c r="D5" s="6"/>
      <c r="E5" s="6"/>
      <c r="F5" s="6"/>
      <c r="G5" s="6"/>
      <c r="H5" s="6"/>
      <c r="I5" s="6"/>
      <c r="J5" s="6"/>
    </row>
    <row r="6" spans="1:10" ht="22" customHeight="1" x14ac:dyDescent="0.2">
      <c r="A6" s="3" t="s">
        <v>3</v>
      </c>
      <c r="B6" s="1" t="s">
        <v>82</v>
      </c>
      <c r="C6" s="1"/>
      <c r="D6" s="1"/>
      <c r="E6" s="1"/>
      <c r="F6" s="1"/>
      <c r="G6" s="3" t="s">
        <v>4</v>
      </c>
      <c r="H6" s="1">
        <v>5530050231</v>
      </c>
      <c r="I6" s="1"/>
      <c r="J6" s="1"/>
    </row>
    <row r="7" spans="1:10" ht="22" customHeight="1" x14ac:dyDescent="0.2">
      <c r="A7" s="3" t="s">
        <v>5</v>
      </c>
      <c r="B7" s="8">
        <v>46171</v>
      </c>
      <c r="C7" s="1"/>
      <c r="D7" s="1"/>
      <c r="E7" s="2"/>
      <c r="F7" s="2"/>
      <c r="G7" s="2"/>
      <c r="H7" s="2"/>
      <c r="I7" s="2"/>
      <c r="J7" s="2"/>
    </row>
    <row r="8" spans="1:10" ht="22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ht="22" customHeight="1" x14ac:dyDescent="0.2">
      <c r="A9" s="6" t="s">
        <v>6</v>
      </c>
      <c r="B9" s="6"/>
      <c r="C9" s="6"/>
      <c r="D9" s="6"/>
      <c r="E9" s="6"/>
      <c r="F9" s="6"/>
      <c r="G9" s="6"/>
      <c r="H9" s="6"/>
      <c r="I9" s="6"/>
      <c r="J9" s="6"/>
    </row>
    <row r="10" spans="1:10" ht="22" customHeight="1" x14ac:dyDescent="0.2">
      <c r="A10" s="3" t="s">
        <v>7</v>
      </c>
      <c r="B10" s="1" t="s">
        <v>83</v>
      </c>
      <c r="C10" s="1"/>
      <c r="D10" s="1"/>
      <c r="E10" s="1"/>
      <c r="F10" s="1"/>
      <c r="G10" s="1"/>
      <c r="H10" s="1"/>
      <c r="I10" s="1"/>
      <c r="J10" s="1"/>
    </row>
    <row r="11" spans="1:10" ht="22" customHeight="1" x14ac:dyDescent="0.2">
      <c r="A11" s="3" t="s">
        <v>8</v>
      </c>
      <c r="B11" s="1" t="s">
        <v>84</v>
      </c>
      <c r="C11" s="1"/>
      <c r="D11" s="1"/>
      <c r="E11" s="1"/>
      <c r="F11" s="1"/>
      <c r="G11" s="1"/>
      <c r="H11" s="1"/>
      <c r="I11" s="1"/>
      <c r="J11" s="1"/>
    </row>
    <row r="12" spans="1:10" ht="22" customHeight="1" x14ac:dyDescent="0.2">
      <c r="A12" s="2"/>
      <c r="B12" s="1"/>
      <c r="C12" s="1"/>
      <c r="D12" s="1"/>
      <c r="E12" s="1"/>
      <c r="F12" s="1"/>
      <c r="G12" s="1"/>
      <c r="H12" s="1"/>
      <c r="I12" s="1"/>
      <c r="J12" s="1"/>
    </row>
    <row r="13" spans="1:10" ht="22" customHeight="1" x14ac:dyDescent="0.2">
      <c r="A13" s="3" t="s">
        <v>9</v>
      </c>
      <c r="B13" s="1" t="s">
        <v>85</v>
      </c>
      <c r="C13" s="1"/>
      <c r="D13" s="1"/>
      <c r="E13" s="1"/>
      <c r="F13" s="1"/>
      <c r="G13" s="1"/>
      <c r="H13" s="1"/>
      <c r="I13" s="1"/>
      <c r="J13" s="1"/>
    </row>
    <row r="14" spans="1:10" ht="22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ht="22" customHeight="1" x14ac:dyDescent="0.2">
      <c r="A15" s="6" t="s">
        <v>10</v>
      </c>
      <c r="B15" s="6"/>
      <c r="C15" s="6"/>
      <c r="D15" s="6"/>
      <c r="E15" s="6"/>
      <c r="F15" s="6"/>
      <c r="G15" s="6"/>
      <c r="H15" s="6"/>
      <c r="I15" s="6"/>
      <c r="J15" s="6"/>
    </row>
    <row r="16" spans="1:10" ht="22" customHeight="1" x14ac:dyDescent="0.2">
      <c r="A16" s="3" t="s">
        <v>11</v>
      </c>
      <c r="B16" s="1" t="s">
        <v>86</v>
      </c>
      <c r="C16" s="1"/>
      <c r="D16" s="1"/>
      <c r="E16" s="1"/>
      <c r="F16" s="1"/>
      <c r="G16" s="1"/>
      <c r="H16" s="1"/>
      <c r="I16" s="1"/>
      <c r="J16" s="1"/>
    </row>
    <row r="17" spans="1:10" ht="22" customHeight="1" x14ac:dyDescent="0.2">
      <c r="A17" s="2"/>
      <c r="B17" s="1"/>
      <c r="C17" s="1"/>
      <c r="D17" s="1"/>
      <c r="E17" s="1"/>
      <c r="F17" s="1"/>
      <c r="G17" s="1"/>
      <c r="H17" s="1"/>
      <c r="I17" s="1"/>
      <c r="J17" s="1"/>
    </row>
    <row r="18" spans="1:10" ht="22" customHeight="1" x14ac:dyDescent="0.2">
      <c r="A18" s="3" t="s">
        <v>12</v>
      </c>
      <c r="B18" s="1" t="s">
        <v>87</v>
      </c>
      <c r="C18" s="1"/>
      <c r="D18" s="3" t="s">
        <v>13</v>
      </c>
      <c r="E18" s="1" t="s">
        <v>88</v>
      </c>
      <c r="F18" s="1"/>
      <c r="G18" s="1"/>
      <c r="H18" s="1"/>
      <c r="I18" s="1"/>
      <c r="J18" s="1"/>
    </row>
    <row r="19" spans="1:10" ht="22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ht="22" customHeight="1" x14ac:dyDescent="0.2">
      <c r="A20" s="6" t="s">
        <v>14</v>
      </c>
      <c r="B20" s="6"/>
      <c r="C20" s="6"/>
      <c r="D20" s="6"/>
      <c r="E20" s="6"/>
      <c r="F20" s="6"/>
      <c r="G20" s="6"/>
      <c r="H20" s="6"/>
      <c r="I20" s="6"/>
      <c r="J20" s="6"/>
    </row>
    <row r="21" spans="1:10" ht="22" customHeight="1" x14ac:dyDescent="0.2">
      <c r="A21" s="3" t="s">
        <v>15</v>
      </c>
      <c r="B21" s="8">
        <v>46172</v>
      </c>
      <c r="C21" s="1"/>
      <c r="D21" s="1"/>
      <c r="E21" s="3" t="s">
        <v>16</v>
      </c>
      <c r="F21" s="1"/>
      <c r="G21" s="1"/>
      <c r="H21" s="1"/>
      <c r="I21" s="1"/>
      <c r="J21" s="1"/>
    </row>
    <row r="22" spans="1:10" ht="22" customHeight="1" x14ac:dyDescent="0.2">
      <c r="A22" s="3" t="s">
        <v>17</v>
      </c>
      <c r="B22" s="1" t="s">
        <v>92</v>
      </c>
      <c r="C22" s="1"/>
      <c r="D22" s="1"/>
      <c r="E22" s="3" t="s">
        <v>18</v>
      </c>
      <c r="F22" s="1" t="s">
        <v>89</v>
      </c>
      <c r="G22" s="1"/>
      <c r="H22" s="1"/>
      <c r="I22" s="1"/>
      <c r="J22" s="1"/>
    </row>
    <row r="23" spans="1:10" ht="22" customHeight="1" x14ac:dyDescent="0.2">
      <c r="A23" s="3" t="s">
        <v>19</v>
      </c>
      <c r="B23" s="1" t="s">
        <v>91</v>
      </c>
      <c r="C23" s="1"/>
      <c r="D23" s="1"/>
      <c r="E23" s="3" t="s">
        <v>20</v>
      </c>
      <c r="F23" s="1" t="s">
        <v>90</v>
      </c>
      <c r="G23" s="1"/>
      <c r="H23" s="1"/>
      <c r="I23" s="1"/>
      <c r="J23" s="1"/>
    </row>
    <row r="24" spans="1:10" ht="22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ht="22" customHeight="1" x14ac:dyDescent="0.2">
      <c r="A25" s="6" t="s">
        <v>21</v>
      </c>
      <c r="B25" s="6"/>
      <c r="C25" s="6"/>
      <c r="D25" s="6"/>
      <c r="E25" s="6"/>
      <c r="F25" s="6"/>
      <c r="G25" s="6"/>
      <c r="H25" s="6"/>
      <c r="I25" s="6"/>
      <c r="J25" s="6"/>
    </row>
    <row r="26" spans="1:10" ht="22" customHeight="1" x14ac:dyDescent="0.2">
      <c r="A26" s="3" t="s">
        <v>22</v>
      </c>
      <c r="B26" s="1" t="s">
        <v>23</v>
      </c>
      <c r="C26" s="1"/>
      <c r="D26" s="2"/>
      <c r="E26" s="2"/>
      <c r="F26" s="2"/>
      <c r="G26" s="2"/>
      <c r="H26" s="2"/>
      <c r="I26" s="2"/>
      <c r="J26" s="2"/>
    </row>
    <row r="27" spans="1:10" ht="22" customHeight="1" x14ac:dyDescent="0.2">
      <c r="A27" s="3" t="s">
        <v>24</v>
      </c>
      <c r="B27" s="1">
        <v>200000</v>
      </c>
      <c r="C27" s="1"/>
      <c r="D27" s="1"/>
      <c r="E27" s="3" t="s">
        <v>25</v>
      </c>
      <c r="F27" s="1">
        <v>400</v>
      </c>
      <c r="G27" s="1"/>
      <c r="H27" s="1"/>
      <c r="I27" s="1"/>
      <c r="J27" s="1"/>
    </row>
    <row r="28" spans="1:10" ht="22" customHeight="1" x14ac:dyDescent="0.2">
      <c r="A28" s="3" t="s">
        <v>26</v>
      </c>
      <c r="B28" s="1">
        <v>400</v>
      </c>
      <c r="C28" s="1"/>
      <c r="D28" s="1"/>
      <c r="E28" s="3" t="s">
        <v>27</v>
      </c>
      <c r="F28" s="1">
        <v>4000</v>
      </c>
      <c r="G28" s="1"/>
      <c r="H28" s="1"/>
      <c r="I28" s="1"/>
      <c r="J28" s="1"/>
    </row>
    <row r="29" spans="1:10" ht="22" customHeight="1" x14ac:dyDescent="0.2">
      <c r="A29" s="3" t="s">
        <v>28</v>
      </c>
      <c r="B29" s="1">
        <f>SUM(B27,F27,B28,F28)</f>
        <v>204800</v>
      </c>
      <c r="C29" s="1"/>
      <c r="D29" s="1"/>
      <c r="E29" s="2"/>
      <c r="F29" s="2"/>
      <c r="G29" s="2"/>
      <c r="H29" s="2"/>
      <c r="I29" s="2"/>
      <c r="J29" s="2"/>
    </row>
    <row r="30" spans="1:10" ht="22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ht="22" customHeight="1" x14ac:dyDescent="0.2">
      <c r="A31" s="6" t="s">
        <v>29</v>
      </c>
      <c r="B31" s="6"/>
      <c r="C31" s="6"/>
      <c r="D31" s="6"/>
      <c r="E31" s="6"/>
      <c r="F31" s="6"/>
      <c r="G31" s="6"/>
      <c r="H31" s="6"/>
      <c r="I31" s="6"/>
      <c r="J31" s="6"/>
    </row>
    <row r="32" spans="1:10" ht="22" customHeight="1" x14ac:dyDescent="0.2">
      <c r="A32" s="3" t="s">
        <v>7</v>
      </c>
      <c r="B32" s="1" t="s">
        <v>93</v>
      </c>
      <c r="C32" s="1"/>
      <c r="D32" s="1"/>
      <c r="E32" s="1"/>
      <c r="F32" s="1"/>
      <c r="G32" s="1"/>
      <c r="H32" s="1"/>
      <c r="I32" s="1"/>
      <c r="J32" s="1"/>
    </row>
    <row r="33" spans="1:10" ht="22" customHeight="1" x14ac:dyDescent="0.2">
      <c r="A33" s="3" t="s">
        <v>8</v>
      </c>
      <c r="B33" s="1" t="s">
        <v>94</v>
      </c>
      <c r="C33" s="1"/>
      <c r="D33" s="1"/>
      <c r="E33" s="1"/>
      <c r="F33" s="1"/>
      <c r="G33" s="1"/>
      <c r="H33" s="1"/>
      <c r="I33" s="1"/>
      <c r="J33" s="1"/>
    </row>
    <row r="34" spans="1:10" ht="22" customHeight="1" x14ac:dyDescent="0.2">
      <c r="A34" s="2"/>
      <c r="B34" s="1"/>
      <c r="C34" s="1"/>
      <c r="D34" s="1"/>
      <c r="E34" s="1"/>
      <c r="F34" s="1"/>
      <c r="G34" s="1"/>
      <c r="H34" s="1"/>
      <c r="I34" s="1"/>
      <c r="J34" s="1"/>
    </row>
    <row r="35" spans="1:10" ht="22" customHeight="1" x14ac:dyDescent="0.2">
      <c r="A35" s="3" t="s">
        <v>9</v>
      </c>
      <c r="B35" s="1" t="s">
        <v>95</v>
      </c>
      <c r="C35" s="1"/>
      <c r="D35" s="1"/>
      <c r="E35" s="1"/>
      <c r="F35" s="1"/>
      <c r="G35" s="1"/>
      <c r="H35" s="1"/>
      <c r="I35" s="1"/>
      <c r="J35" s="1"/>
    </row>
    <row r="36" spans="1:10" ht="22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ht="22" customHeight="1" x14ac:dyDescent="0.2">
      <c r="A37" s="6" t="s">
        <v>30</v>
      </c>
      <c r="B37" s="6"/>
      <c r="C37" s="6"/>
      <c r="D37" s="6"/>
      <c r="E37" s="6"/>
      <c r="F37" s="6"/>
      <c r="G37" s="6"/>
      <c r="H37" s="6"/>
      <c r="I37" s="6"/>
      <c r="J37" s="6"/>
    </row>
    <row r="38" spans="1:10" ht="22" customHeight="1" x14ac:dyDescent="0.2">
      <c r="A38" s="3" t="s">
        <v>7</v>
      </c>
      <c r="B38" s="1" t="s">
        <v>96</v>
      </c>
      <c r="C38" s="1"/>
      <c r="D38" s="1"/>
      <c r="E38" s="1"/>
      <c r="F38" s="1"/>
      <c r="G38" s="1"/>
      <c r="H38" s="1"/>
      <c r="I38" s="1"/>
      <c r="J38" s="1"/>
    </row>
    <row r="39" spans="1:10" ht="22" customHeight="1" x14ac:dyDescent="0.2">
      <c r="A39" s="3" t="s">
        <v>8</v>
      </c>
      <c r="B39" s="1" t="s">
        <v>97</v>
      </c>
      <c r="C39" s="1"/>
      <c r="D39" s="1"/>
      <c r="E39" s="1"/>
      <c r="F39" s="1"/>
      <c r="G39" s="1"/>
      <c r="H39" s="1"/>
      <c r="I39" s="1"/>
      <c r="J39" s="1"/>
    </row>
    <row r="40" spans="1:10" ht="22" customHeight="1" x14ac:dyDescent="0.2">
      <c r="A40" s="2"/>
      <c r="B40" s="1"/>
      <c r="C40" s="1"/>
      <c r="D40" s="1"/>
      <c r="E40" s="1"/>
      <c r="F40" s="1"/>
      <c r="G40" s="1"/>
      <c r="H40" s="1"/>
      <c r="I40" s="1"/>
      <c r="J40" s="1"/>
    </row>
    <row r="41" spans="1:10" ht="22" customHeight="1" x14ac:dyDescent="0.2">
      <c r="A41" s="3" t="s">
        <v>9</v>
      </c>
      <c r="B41" s="1">
        <v>5530050231</v>
      </c>
      <c r="C41" s="1"/>
      <c r="D41" s="1"/>
      <c r="E41" s="1"/>
      <c r="F41" s="1"/>
      <c r="G41" s="1"/>
      <c r="H41" s="1"/>
      <c r="I41" s="1"/>
      <c r="J41" s="1"/>
    </row>
    <row r="42" spans="1:10" ht="22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ht="22" customHeight="1" x14ac:dyDescent="0.2">
      <c r="A43" s="6" t="s">
        <v>31</v>
      </c>
      <c r="B43" s="6"/>
      <c r="C43" s="6"/>
      <c r="D43" s="6"/>
      <c r="E43" s="6"/>
      <c r="F43" s="6"/>
      <c r="G43" s="6"/>
      <c r="H43" s="6"/>
      <c r="I43" s="6"/>
      <c r="J43" s="6"/>
    </row>
    <row r="44" spans="1:10" ht="22" customHeight="1" x14ac:dyDescent="0.2">
      <c r="A44" s="3" t="s">
        <v>32</v>
      </c>
      <c r="B44" s="1" t="s">
        <v>98</v>
      </c>
      <c r="C44" s="1"/>
      <c r="D44" s="1"/>
      <c r="E44" s="3" t="s">
        <v>33</v>
      </c>
      <c r="F44" s="1">
        <v>213</v>
      </c>
      <c r="G44" s="1"/>
      <c r="H44" s="1"/>
      <c r="I44" s="1"/>
      <c r="J44" s="1"/>
    </row>
    <row r="45" spans="1:10" ht="22" customHeight="1" x14ac:dyDescent="0.2">
      <c r="A45" s="3" t="s">
        <v>34</v>
      </c>
      <c r="B45" s="1" t="s">
        <v>99</v>
      </c>
      <c r="C45" s="1"/>
      <c r="D45" s="1"/>
      <c r="E45" s="3" t="s">
        <v>35</v>
      </c>
      <c r="F45" s="1" t="s">
        <v>102</v>
      </c>
      <c r="G45" s="1"/>
      <c r="H45" s="1"/>
      <c r="I45" s="1"/>
      <c r="J45" s="1"/>
    </row>
    <row r="46" spans="1:10" ht="22" customHeight="1" x14ac:dyDescent="0.2">
      <c r="A46" s="3" t="s">
        <v>36</v>
      </c>
      <c r="B46" s="1" t="s">
        <v>100</v>
      </c>
      <c r="C46" s="1"/>
      <c r="D46" s="1"/>
      <c r="E46" s="3" t="s">
        <v>37</v>
      </c>
      <c r="F46" s="1" t="s">
        <v>103</v>
      </c>
      <c r="G46" s="1"/>
      <c r="H46" s="1"/>
      <c r="I46" s="1"/>
      <c r="J46" s="1"/>
    </row>
    <row r="47" spans="1:10" ht="22" customHeight="1" x14ac:dyDescent="0.2">
      <c r="A47" s="3" t="s">
        <v>38</v>
      </c>
      <c r="B47" s="1" t="s">
        <v>101</v>
      </c>
      <c r="C47" s="1"/>
      <c r="D47" s="1"/>
      <c r="E47" s="2"/>
      <c r="F47" s="2"/>
      <c r="G47" s="2"/>
      <c r="H47" s="2"/>
      <c r="I47" s="2"/>
      <c r="J47" s="2"/>
    </row>
    <row r="48" spans="1:10" ht="22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ht="22" customHeight="1" x14ac:dyDescent="0.2">
      <c r="A49" s="6" t="s">
        <v>39</v>
      </c>
      <c r="B49" s="6"/>
      <c r="C49" s="6"/>
      <c r="D49" s="6"/>
      <c r="E49" s="6"/>
      <c r="F49" s="6"/>
      <c r="G49" s="6"/>
      <c r="H49" s="6"/>
      <c r="I49" s="6"/>
      <c r="J49" s="6"/>
    </row>
    <row r="50" spans="1:10" ht="22" customHeight="1" x14ac:dyDescent="0.2">
      <c r="A50" s="1" t="s">
        <v>40</v>
      </c>
      <c r="B50" s="7" t="s">
        <v>41</v>
      </c>
      <c r="C50" s="7"/>
      <c r="D50" s="7"/>
      <c r="E50" s="7"/>
      <c r="F50" s="7"/>
      <c r="G50" s="7"/>
      <c r="H50" s="7"/>
      <c r="I50" s="7"/>
      <c r="J50" s="7"/>
    </row>
    <row r="51" spans="1:10" ht="22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ht="22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ht="22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ht="22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ht="22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ht="22" customHeight="1" x14ac:dyDescent="0.2"/>
    <row r="57" spans="1:10" ht="22" customHeight="1" x14ac:dyDescent="0.2"/>
    <row r="58" spans="1:10" ht="22" customHeight="1" x14ac:dyDescent="0.2"/>
    <row r="59" spans="1:10" ht="22" customHeight="1" x14ac:dyDescent="0.2"/>
    <row r="60" spans="1:10" ht="22" customHeight="1" x14ac:dyDescent="0.2"/>
    <row r="61" spans="1:10" ht="22" customHeight="1" x14ac:dyDescent="0.2"/>
    <row r="62" spans="1:10" ht="22" customHeight="1" x14ac:dyDescent="0.2"/>
  </sheetData>
  <sheetProtection password="DBC9" sheet="1"/>
  <mergeCells count="12">
    <mergeCell ref="A49:J49"/>
    <mergeCell ref="B50:J50"/>
    <mergeCell ref="A20:J20"/>
    <mergeCell ref="A25:J25"/>
    <mergeCell ref="A31:J31"/>
    <mergeCell ref="A37:J37"/>
    <mergeCell ref="A43:J43"/>
    <mergeCell ref="A1:J2"/>
    <mergeCell ref="A3:J3"/>
    <mergeCell ref="A5:J5"/>
    <mergeCell ref="A9:J9"/>
    <mergeCell ref="A15:J15"/>
  </mergeCells>
  <dataValidations count="3">
    <dataValidation type="list" sqref="B18" xr:uid="{00000000-0002-0000-0000-000000000000}">
      <formula1>"nueva,usada"</formula1>
    </dataValidation>
    <dataValidation type="list" sqref="B26" xr:uid="{00000000-0002-0000-0000-000001000000}">
      <formula1>"usd,pesos"</formula1>
    </dataValidation>
    <dataValidation type="list" sqref="A50" xr:uid="{00000000-0002-0000-0000-000002000000}">
      <formula1>"sí,no"</formula1>
    </dataValidation>
  </dataValidation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2"/>
  <sheetViews>
    <sheetView workbookViewId="0"/>
  </sheetViews>
  <sheetFormatPr baseColWidth="10" defaultColWidth="9" defaultRowHeight="14" x14ac:dyDescent="0.2"/>
  <sheetData>
    <row r="1" spans="1:38" x14ac:dyDescent="0.2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  <c r="AE1" t="s">
        <v>72</v>
      </c>
      <c r="AF1" t="s">
        <v>73</v>
      </c>
      <c r="AG1" t="s">
        <v>74</v>
      </c>
      <c r="AH1" t="s">
        <v>75</v>
      </c>
      <c r="AI1" t="s">
        <v>76</v>
      </c>
      <c r="AJ1" t="s">
        <v>77</v>
      </c>
      <c r="AK1" t="s">
        <v>78</v>
      </c>
      <c r="AL1" t="s">
        <v>79</v>
      </c>
    </row>
    <row r="2" spans="1:38" x14ac:dyDescent="0.2">
      <c r="A2" t="str">
        <f>Solicitud!B6</f>
        <v>Jose Raul Perea</v>
      </c>
      <c r="B2">
        <f>Solicitud!H6</f>
        <v>5530050231</v>
      </c>
      <c r="C2">
        <f>Solicitud!B7</f>
        <v>46171</v>
      </c>
      <c r="D2" t="str">
        <f>Solicitud!B10</f>
        <v>Patrick Perea Navarro</v>
      </c>
      <c r="E2" t="str">
        <f>Solicitud!B11</f>
        <v>Rancho del Arco 24 interior 101</v>
      </c>
      <c r="F2" t="str">
        <f>Solicitud!B13</f>
        <v>Karla navarro</v>
      </c>
      <c r="G2" t="str">
        <f>Solicitud!B16</f>
        <v>TV plasma de 65 pulgadas</v>
      </c>
      <c r="H2" t="str">
        <f>Solicitud!B18</f>
        <v>usada</v>
      </c>
      <c r="I2" t="str">
        <f>Solicitud!E18</f>
        <v>marca samsung en buen estado</v>
      </c>
      <c r="J2">
        <f>Solicitud!B21</f>
        <v>46172</v>
      </c>
      <c r="K2" t="str">
        <f>Solicitud!B22</f>
        <v>Taiwan</v>
      </c>
      <c r="L2" t="str">
        <f>Solicitud!F22</f>
        <v>China</v>
      </c>
      <c r="M2" t="str">
        <f>Solicitud!B23</f>
        <v>Cdmx</v>
      </c>
      <c r="N2" t="str">
        <f>Solicitud!F23</f>
        <v>Mexico</v>
      </c>
      <c r="O2">
        <f>Solicitud!F21</f>
        <v>0</v>
      </c>
      <c r="P2" t="str">
        <f>Solicitud!B26</f>
        <v>usd</v>
      </c>
      <c r="Q2">
        <f>Solicitud!B27</f>
        <v>200000</v>
      </c>
      <c r="R2">
        <f>Solicitud!F27</f>
        <v>400</v>
      </c>
      <c r="S2">
        <f>Solicitud!B28</f>
        <v>400</v>
      </c>
      <c r="T2">
        <f>Solicitud!F28</f>
        <v>4000</v>
      </c>
      <c r="U2">
        <f>Solicitud!B29</f>
        <v>204800</v>
      </c>
      <c r="V2" t="str">
        <f>Solicitud!B32</f>
        <v>Rafael garca</v>
      </c>
      <c r="W2" t="str">
        <f>Solicitud!B33</f>
        <v>cerro de los ciruelos 303</v>
      </c>
      <c r="X2" t="str">
        <f>Solicitud!B35</f>
        <v>alabama</v>
      </c>
      <c r="Y2" t="str">
        <f>Solicitud!B38</f>
        <v>josera</v>
      </c>
      <c r="Z2" t="str">
        <f>Solicitud!B39</f>
        <v>cerro de tamaulipas</v>
      </c>
      <c r="AA2">
        <f>Solicitud!B41</f>
        <v>5530050231</v>
      </c>
      <c r="AB2" t="str">
        <f>Solicitud!B44</f>
        <v>camion</v>
      </c>
      <c r="AC2">
        <f>Solicitud!F44</f>
        <v>213</v>
      </c>
      <c r="AD2" t="str">
        <f>Solicitud!B45</f>
        <v>contenerdo</v>
      </c>
      <c r="AE2" t="str">
        <f>Solicitud!F45</f>
        <v>B</v>
      </c>
      <c r="AF2" t="str">
        <f>Solicitud!B46</f>
        <v>azul</v>
      </c>
      <c r="AG2" t="str">
        <f>Solicitud!F46</f>
        <v>3432432h</v>
      </c>
      <c r="AH2" t="str">
        <f>Solicitud!B47</f>
        <v>no</v>
      </c>
      <c r="AI2" t="str">
        <f>Solicitud!A50</f>
        <v>sí</v>
      </c>
      <c r="AK2" t="s">
        <v>80</v>
      </c>
      <c r="AL2" t="s">
        <v>81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Solicitud</vt:lpstr>
      <vt:lpstr>Datos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José Raúl Perea Herrera</cp:lastModifiedBy>
  <dcterms:created xsi:type="dcterms:W3CDTF">2026-05-29T15:48:14Z</dcterms:created>
  <dcterms:modified xsi:type="dcterms:W3CDTF">2026-05-29T15:54:43Z</dcterms:modified>
  <cp:category/>
</cp:coreProperties>
</file>